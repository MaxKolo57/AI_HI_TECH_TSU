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ЕКБ\"/>
    </mc:Choice>
  </mc:AlternateContent>
  <xr:revisionPtr revIDLastSave="0" documentId="13_ncr:1_{D753143A-2F64-4C46-9573-8E7B052C386C}" xr6:coauthVersionLast="36" xr6:coauthVersionMax="36" xr10:uidLastSave="{00000000-0000-0000-0000-000000000000}"/>
  <bookViews>
    <workbookView xWindow="0" yWindow="0" windowWidth="30720" windowHeight="15180" xr2:uid="{F785AD06-D45A-4FCE-AE7D-6861B74351E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C4" i="2"/>
  <c r="B4" i="2"/>
  <c r="C2" i="2"/>
  <c r="B2" i="2"/>
  <c r="B5" i="2"/>
  <c r="B13" i="1" l="1"/>
  <c r="B15" i="1"/>
  <c r="B7" i="1"/>
  <c r="B19" i="1" l="1"/>
  <c r="B6" i="2" l="1"/>
  <c r="B7" i="2" s="1"/>
  <c r="C6" i="2"/>
  <c r="C7" i="2" s="1"/>
  <c r="C9" i="2" l="1"/>
  <c r="C8" i="2"/>
  <c r="B9" i="2"/>
  <c r="B8" i="2"/>
</calcChain>
</file>

<file path=xl/sharedStrings.xml><?xml version="1.0" encoding="utf-8"?>
<sst xmlns="http://schemas.openxmlformats.org/spreadsheetml/2006/main" count="40" uniqueCount="37">
  <si>
    <t>Затраты</t>
  </si>
  <si>
    <t>Капитальные</t>
  </si>
  <si>
    <t>Операционные</t>
  </si>
  <si>
    <t>Аренда сервера для обучения нейросети</t>
  </si>
  <si>
    <t>Работа команды</t>
  </si>
  <si>
    <t>Raspberry Pi 4/5+</t>
  </si>
  <si>
    <t>ИТОГО:</t>
  </si>
  <si>
    <t>Примечание</t>
  </si>
  <si>
    <t>Техническая документация, методические материалы и перевод</t>
  </si>
  <si>
    <t>Дополнительные услуги</t>
  </si>
  <si>
    <t>Аннотация, обучение нейросети, оптимизация и т.д.</t>
  </si>
  <si>
    <t xml:space="preserve">ПО для управления </t>
  </si>
  <si>
    <t>Хранение и обработка данных</t>
  </si>
  <si>
    <t>Зарплата команды (4 чел.)</t>
  </si>
  <si>
    <t>Командировки, полевые работы</t>
  </si>
  <si>
    <t>Обновление документации и перевод</t>
  </si>
  <si>
    <t>Прочие расходы / резерв</t>
  </si>
  <si>
    <t>₽/Год</t>
  </si>
  <si>
    <t>Помощь с адаптацией под судно заказчика</t>
  </si>
  <si>
    <t>20 суток * 10 000 ₽/сут = обучение под 5-6 новых участков в год</t>
  </si>
  <si>
    <t>Ортофотоплан предоставляет заказчик</t>
  </si>
  <si>
    <t>Ортофотоплан предоставляет исполнитель</t>
  </si>
  <si>
    <t>Стоимость работ за 1 км^2, ₽/Год</t>
  </si>
  <si>
    <t>Показатель</t>
  </si>
  <si>
    <t>Вариант 1 (заказчик предоставляет ортофотоплан)</t>
  </si>
  <si>
    <t>Вариант 2 (исполнитель выполняет съёмку)</t>
  </si>
  <si>
    <t>Стоимость услуг, ₽/км²</t>
  </si>
  <si>
    <t>Площадь, км²</t>
  </si>
  <si>
    <t>Выручка, ₽</t>
  </si>
  <si>
    <t>Затраты, ₽</t>
  </si>
  <si>
    <t>Прибыль, ₽</t>
  </si>
  <si>
    <t>ROI</t>
  </si>
  <si>
    <t>Срок окупаемости, лет</t>
  </si>
  <si>
    <t>Амортизация, ₽/год</t>
  </si>
  <si>
    <t>3 года</t>
  </si>
  <si>
    <t>Заказ ортофотоплан у заказчика</t>
  </si>
  <si>
    <t>Платный туалет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</si>
</sst>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Font="1" applyAlignment="1">
      <alignment wrapText="1"/>
    </xf>
    <xf numFmtId="4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4" fontId="0" fillId="0" borderId="0" xfId="0" applyNumberFormat="1" applyBorder="1" applyAlignment="1">
      <alignment vertical="center" wrapText="1"/>
    </xf>
    <xf numFmtId="0" fontId="0" fillId="0" borderId="0" xfId="0" applyBorder="1"/>
    <xf numFmtId="4" fontId="0" fillId="0" borderId="0" xfId="0" applyNumberFormat="1" applyBorder="1" applyAlignment="1">
      <alignment horizontal="center" vertical="center" wrapText="1"/>
    </xf>
    <xf numFmtId="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vertical="center" wrapText="1"/>
    </xf>
    <xf numFmtId="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B71C-6D59-47D4-A1E0-692DA7B73B9A}">
  <dimension ref="A1:C32"/>
  <sheetViews>
    <sheetView tabSelected="1" workbookViewId="0">
      <selection activeCell="C22" sqref="C22"/>
    </sheetView>
  </sheetViews>
  <sheetFormatPr defaultRowHeight="14.4" x14ac:dyDescent="0.3"/>
  <cols>
    <col min="1" max="1" width="38.77734375" style="2" customWidth="1"/>
    <col min="2" max="2" width="11.33203125" style="6" customWidth="1"/>
    <col min="3" max="3" width="30.6640625" style="2" customWidth="1"/>
    <col min="4" max="13" width="8.88671875" style="2"/>
    <col min="14" max="15" width="8.88671875" style="2" customWidth="1"/>
    <col min="16" max="16384" width="8.88671875" style="2"/>
  </cols>
  <sheetData>
    <row r="1" spans="1:3" x14ac:dyDescent="0.3">
      <c r="A1" s="13" t="s">
        <v>0</v>
      </c>
      <c r="B1" s="13"/>
      <c r="C1" s="13"/>
    </row>
    <row r="2" spans="1:3" x14ac:dyDescent="0.3">
      <c r="A2" s="11" t="s">
        <v>1</v>
      </c>
      <c r="B2" s="11"/>
      <c r="C2" s="4" t="s">
        <v>7</v>
      </c>
    </row>
    <row r="3" spans="1:3" ht="30" customHeight="1" x14ac:dyDescent="0.3">
      <c r="A3" s="2" t="s">
        <v>4</v>
      </c>
      <c r="B3" s="6">
        <v>500000</v>
      </c>
      <c r="C3" s="2" t="s">
        <v>10</v>
      </c>
    </row>
    <row r="4" spans="1:3" x14ac:dyDescent="0.3">
      <c r="A4" s="2" t="s">
        <v>5</v>
      </c>
      <c r="B4" s="6">
        <v>20000</v>
      </c>
    </row>
    <row r="5" spans="1:3" x14ac:dyDescent="0.3">
      <c r="A5" s="2" t="s">
        <v>11</v>
      </c>
      <c r="B5" s="6">
        <v>200000</v>
      </c>
    </row>
    <row r="6" spans="1:3" x14ac:dyDescent="0.3">
      <c r="A6" t="s">
        <v>8</v>
      </c>
      <c r="B6" s="6">
        <v>140000</v>
      </c>
    </row>
    <row r="7" spans="1:3" x14ac:dyDescent="0.3">
      <c r="A7" s="5" t="s">
        <v>6</v>
      </c>
      <c r="B7" s="6">
        <f>SUM(B3:B6)</f>
        <v>860000</v>
      </c>
    </row>
    <row r="8" spans="1:3" x14ac:dyDescent="0.3">
      <c r="A8" s="7"/>
      <c r="B8" s="8"/>
      <c r="C8" s="7"/>
    </row>
    <row r="11" spans="1:3" x14ac:dyDescent="0.3">
      <c r="A11" s="11" t="s">
        <v>2</v>
      </c>
      <c r="B11" s="11"/>
      <c r="C11" s="4" t="s">
        <v>7</v>
      </c>
    </row>
    <row r="12" spans="1:3" x14ac:dyDescent="0.3">
      <c r="A12" s="2" t="s">
        <v>3</v>
      </c>
      <c r="B12" s="6">
        <v>200000</v>
      </c>
      <c r="C12" t="s">
        <v>19</v>
      </c>
    </row>
    <row r="13" spans="1:3" x14ac:dyDescent="0.3">
      <c r="A13" t="s">
        <v>12</v>
      </c>
      <c r="B13" s="6">
        <f>30000*12</f>
        <v>360000</v>
      </c>
      <c r="C13"/>
    </row>
    <row r="14" spans="1:3" x14ac:dyDescent="0.3">
      <c r="A14" t="s">
        <v>13</v>
      </c>
      <c r="B14" s="1">
        <f>4*100000*12</f>
        <v>4800000</v>
      </c>
      <c r="C14" s="3"/>
    </row>
    <row r="15" spans="1:3" x14ac:dyDescent="0.3">
      <c r="A15" t="s">
        <v>14</v>
      </c>
      <c r="B15" s="6">
        <f>6000*12</f>
        <v>72000</v>
      </c>
      <c r="C15" s="3"/>
    </row>
    <row r="16" spans="1:3" x14ac:dyDescent="0.3">
      <c r="A16" t="s">
        <v>15</v>
      </c>
      <c r="B16" s="6">
        <v>30000</v>
      </c>
      <c r="C16" s="3"/>
    </row>
    <row r="17" spans="1:3" x14ac:dyDescent="0.3">
      <c r="A17" t="s">
        <v>16</v>
      </c>
      <c r="B17" s="6">
        <v>150000</v>
      </c>
      <c r="C17" s="3"/>
    </row>
    <row r="19" spans="1:3" x14ac:dyDescent="0.3">
      <c r="A19" s="5" t="s">
        <v>6</v>
      </c>
      <c r="B19" s="6">
        <f>SUM(B12:B17)</f>
        <v>5612000</v>
      </c>
      <c r="C19" s="7" t="s">
        <v>17</v>
      </c>
    </row>
    <row r="20" spans="1:3" x14ac:dyDescent="0.3">
      <c r="C20" s="3"/>
    </row>
    <row r="21" spans="1:3" x14ac:dyDescent="0.3">
      <c r="A21" s="11" t="s">
        <v>9</v>
      </c>
      <c r="B21" s="11"/>
      <c r="C21" s="3"/>
    </row>
    <row r="22" spans="1:3" ht="28.8" x14ac:dyDescent="0.3">
      <c r="A22" s="2" t="s">
        <v>18</v>
      </c>
      <c r="B22" s="6">
        <v>100000</v>
      </c>
    </row>
    <row r="23" spans="1:3" x14ac:dyDescent="0.3">
      <c r="A23" s="2" t="s">
        <v>36</v>
      </c>
      <c r="B23" s="6">
        <v>650</v>
      </c>
      <c r="C23" s="3"/>
    </row>
    <row r="24" spans="1:3" x14ac:dyDescent="0.3">
      <c r="C24" s="3"/>
    </row>
    <row r="25" spans="1:3" ht="43.2" customHeight="1" x14ac:dyDescent="0.3">
      <c r="A25" s="12" t="s">
        <v>22</v>
      </c>
      <c r="B25" s="12"/>
    </row>
    <row r="26" spans="1:3" x14ac:dyDescent="0.3">
      <c r="A26" s="3" t="s">
        <v>20</v>
      </c>
      <c r="B26" s="6">
        <v>15000</v>
      </c>
      <c r="C26" s="9"/>
    </row>
    <row r="27" spans="1:3" ht="28.8" x14ac:dyDescent="0.3">
      <c r="A27" s="3" t="s">
        <v>21</v>
      </c>
      <c r="B27" s="6">
        <v>30000</v>
      </c>
      <c r="C27" s="9"/>
    </row>
    <row r="28" spans="1:3" x14ac:dyDescent="0.3">
      <c r="A28" s="2" t="s">
        <v>35</v>
      </c>
      <c r="B28" s="6">
        <v>15000</v>
      </c>
      <c r="C28" s="3"/>
    </row>
    <row r="29" spans="1:3" x14ac:dyDescent="0.3">
      <c r="C29" s="3"/>
    </row>
    <row r="30" spans="1:3" x14ac:dyDescent="0.3">
      <c r="C30" s="3"/>
    </row>
    <row r="31" spans="1:3" x14ac:dyDescent="0.3">
      <c r="C31" s="3"/>
    </row>
    <row r="32" spans="1:3" x14ac:dyDescent="0.3">
      <c r="C32" s="3"/>
    </row>
  </sheetData>
  <mergeCells count="5">
    <mergeCell ref="A21:B21"/>
    <mergeCell ref="A25:B25"/>
    <mergeCell ref="A1:C1"/>
    <mergeCell ref="A2:B2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1902-C05E-4B50-9486-790273F0DBFE}">
  <dimension ref="A1:D14"/>
  <sheetViews>
    <sheetView workbookViewId="0">
      <selection activeCell="E13" sqref="E13"/>
    </sheetView>
  </sheetViews>
  <sheetFormatPr defaultRowHeight="14.4" x14ac:dyDescent="0.3"/>
  <cols>
    <col min="1" max="1" width="12.77734375" customWidth="1"/>
    <col min="2" max="2" width="15.88671875" customWidth="1"/>
    <col min="3" max="3" width="13.109375" customWidth="1"/>
    <col min="4" max="4" width="12.109375" customWidth="1"/>
  </cols>
  <sheetData>
    <row r="1" spans="1:4" ht="65.400000000000006" customHeight="1" x14ac:dyDescent="0.3">
      <c r="A1" s="14" t="s">
        <v>23</v>
      </c>
      <c r="B1" s="14" t="s">
        <v>24</v>
      </c>
      <c r="C1" s="14" t="s">
        <v>25</v>
      </c>
      <c r="D1" s="14" t="s">
        <v>7</v>
      </c>
    </row>
    <row r="2" spans="1:4" ht="28.8" x14ac:dyDescent="0.3">
      <c r="A2" s="15" t="s">
        <v>26</v>
      </c>
      <c r="B2" s="16">
        <f>Лист1!B26</f>
        <v>15000</v>
      </c>
      <c r="C2" s="16">
        <f>Лист1!B27</f>
        <v>30000</v>
      </c>
      <c r="D2" s="17"/>
    </row>
    <row r="3" spans="1:4" x14ac:dyDescent="0.3">
      <c r="A3" s="15" t="s">
        <v>27</v>
      </c>
      <c r="B3" s="18">
        <v>500</v>
      </c>
      <c r="C3" s="18"/>
      <c r="D3" s="17"/>
    </row>
    <row r="4" spans="1:4" x14ac:dyDescent="0.3">
      <c r="A4" s="15" t="s">
        <v>28</v>
      </c>
      <c r="B4" s="16">
        <f>Лист2!B2*Лист2!B3</f>
        <v>7500000</v>
      </c>
      <c r="C4" s="16">
        <f>Лист2!C2*Лист2!B3</f>
        <v>15000000</v>
      </c>
      <c r="D4" s="17"/>
    </row>
    <row r="5" spans="1:4" ht="28.8" x14ac:dyDescent="0.3">
      <c r="A5" s="15" t="s">
        <v>33</v>
      </c>
      <c r="B5" s="19">
        <f>Лист1!B7/3</f>
        <v>286666.66666666669</v>
      </c>
      <c r="C5" s="19"/>
      <c r="D5" s="17" t="s">
        <v>34</v>
      </c>
    </row>
    <row r="6" spans="1:4" x14ac:dyDescent="0.3">
      <c r="A6" s="15" t="s">
        <v>29</v>
      </c>
      <c r="B6" s="16">
        <f>Лист1!B19+Лист2!B5</f>
        <v>5898666.666666667</v>
      </c>
      <c r="C6" s="16">
        <f>Лист1!B19+Лист2!B5+Лист1!B28*Лист2!B3</f>
        <v>13398666.666666668</v>
      </c>
      <c r="D6" s="17"/>
    </row>
    <row r="7" spans="1:4" x14ac:dyDescent="0.3">
      <c r="A7" s="15" t="s">
        <v>30</v>
      </c>
      <c r="B7" s="16">
        <f>B4-B6</f>
        <v>1601333.333333333</v>
      </c>
      <c r="C7" s="16">
        <f>C4-C6</f>
        <v>1601333.3333333321</v>
      </c>
      <c r="D7" s="17"/>
    </row>
    <row r="8" spans="1:4" x14ac:dyDescent="0.3">
      <c r="A8" s="15" t="s">
        <v>31</v>
      </c>
      <c r="B8" s="20">
        <f>B7/Лист1!B7</f>
        <v>1.8620155038759687</v>
      </c>
      <c r="C8" s="20">
        <f>C7/Лист1!B7</f>
        <v>1.8620155038759676</v>
      </c>
      <c r="D8" s="17"/>
    </row>
    <row r="9" spans="1:4" ht="43.2" x14ac:dyDescent="0.3">
      <c r="A9" s="15" t="s">
        <v>32</v>
      </c>
      <c r="B9" s="21">
        <f>Лист1!B7/Лист2!B7</f>
        <v>0.53705245628642806</v>
      </c>
      <c r="C9" s="21">
        <f>Лист1!B7/Лист2!C7</f>
        <v>0.53705245628642839</v>
      </c>
      <c r="D9" s="17"/>
    </row>
    <row r="14" spans="1:4" x14ac:dyDescent="0.3">
      <c r="B14" s="10"/>
      <c r="C14" s="10"/>
    </row>
  </sheetData>
  <mergeCells count="2">
    <mergeCell ref="B5:C5"/>
    <mergeCell ref="B3:C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Sergej Chernov</dc:creator>
  <cp:lastModifiedBy>Sergej Chernov</cp:lastModifiedBy>
  <dcterms:created xsi:type="dcterms:W3CDTF">2025-11-10T10:40:41Z</dcterms:created>
  <dcterms:modified xsi:type="dcterms:W3CDTF">2025-11-13T07:36:10Z</dcterms:modified>
</cp:coreProperties>
</file>